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udanagunta Aakash\Downloads\MapUp-DA-Assessment-2024-main\MapUp-DA-Assessment-2024-main\"/>
    </mc:Choice>
  </mc:AlternateContent>
  <xr:revisionPtr revIDLastSave="0" documentId="13_ncr:1_{03125E30-9BDA-403F-91D9-8915C4474A23}" xr6:coauthVersionLast="47" xr6:coauthVersionMax="47" xr10:uidLastSave="{00000000-0000-0000-0000-000000000000}"/>
  <bookViews>
    <workbookView xWindow="-110" yWindow="-110" windowWidth="22620" windowHeight="142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20" l="1"/>
  <c r="E25" i="20"/>
  <c r="E26" i="20"/>
  <c r="E27" i="20"/>
  <c r="E28" i="20"/>
  <c r="E29" i="20"/>
  <c r="E30" i="20"/>
  <c r="E31" i="20"/>
  <c r="E32" i="20"/>
  <c r="E33" i="20"/>
  <c r="E34" i="20"/>
  <c r="E35" i="20"/>
  <c r="E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D23" i="20"/>
  <c r="C23" i="20"/>
  <c r="D22" i="19"/>
  <c r="D14" i="19"/>
  <c r="D15" i="19"/>
  <c r="D16" i="19"/>
  <c r="D17" i="19"/>
  <c r="D18" i="19"/>
  <c r="D19" i="19"/>
  <c r="D20" i="19"/>
  <c r="D21" i="19"/>
  <c r="D13" i="19"/>
  <c r="D1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F6" i="18"/>
  <c r="E6" i="18"/>
  <c r="D6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<sst xmlns="http://schemas.openxmlformats.org/spreadsheetml/2006/main" count="330" uniqueCount="186">
  <si>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</si>
  <si>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</si>
  <si>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</si>
  <si>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</si>
  <si>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</si>
  <si>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</si>
  <si>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</si>
  <si>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</si>
  <si>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</si>
  <si>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</si>
  <si>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</si>
  <si>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</si>
  <si>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</si>
  <si>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</si>
  <si>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</si>
  <si>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</si>
  <si>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</si>
  <si>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</si>
  <si>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</si>
  <si>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</si>
  <si>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</si>
  <si>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</si>
  <si>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</si>
  <si>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</si>
  <si>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</si>
  <si>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</si>
  <si>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</si>
  <si>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</si>
  <si>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</si>
  <si>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</si>
  <si>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</si>
  <si>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</si>
  <si>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</si>
  <si>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</si>
  <si>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</si>
  <si>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</si>
  <si>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</si>
  <si>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</si>
  <si>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</si>
  <si>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</si>
  <si>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</si>
  <si>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</si>
  <si>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</si>
  <si>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</si>
  <si>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</si>
  <si>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</si>
  <si>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</si>
  <si>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</si>
  <si>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</si>
  <si>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</si>
  <si>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</si>
  <si>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</si>
  <si>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</si>
  <si>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</si>
  <si>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</si>
  <si>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</si>
  <si>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</si>
  <si>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</si>
  <si>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</si>
  <si>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</si>
  <si>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</si>
  <si>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</si>
  <si>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</si>
  <si>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</si>
  <si>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</si>
  <si>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</si>
  <si>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</si>
  <si>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</si>
  <si>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</si>
  <si>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</si>
  <si>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</si>
  <si>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</si>
  <si>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</si>
  <si>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</si>
  <si>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</si>
  <si>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</si>
  <si>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</si>
  <si>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</si>
  <si>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</si>
  <si>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</si>
  <si>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</si>
  <si>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</si>
  <si>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</si>
  <si>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</si>
  <si>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</si>
  <si>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</si>
  <si>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</si>
  <si>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</si>
  <si>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</si>
  <si>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</si>
  <si>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</si>
  <si>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</si>
  <si>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</si>
  <si>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</si>
  <si>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</si>
  <si>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</si>
  <si>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</si>
  <si>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</si>
  <si>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</si>
  <si>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</si>
  <si>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</si>
  <si>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</si>
  <si>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</si>
  <si>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</si>
  <si>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</si>
  <si>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</si>
  <si>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</si>
  <si>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</si>
  <si>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</si>
  <si>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</si>
  <si>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</si>
  <si>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</si>
  <si>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</si>
  <si>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</si>
  <si>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</si>
  <si>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</si>
  <si>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</si>
  <si>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</si>
  <si>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</si>
  <si>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</si>
  <si>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</si>
  <si>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</si>
  <si>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</si>
  <si>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</si>
  <si>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</si>
  <si>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</si>
  <si>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</si>
  <si>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</si>
  <si>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</si>
  <si>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</si>
  <si>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</si>
  <si>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</si>
  <si>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</si>
  <si>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</si>
  <si>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</si>
  <si>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</si>
  <si>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</si>
  <si>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</si>
  <si>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</si>
  <si>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</si>
  <si>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</si>
  <si>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</si>
  <si>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</si>
  <si>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</si>
  <si>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</si>
  <si>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</si>
  <si>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</si>
  <si>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</si>
  <si>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</si>
  <si>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</si>
  <si>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</si>
  <si>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</si>
  <si>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</si>
  <si>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</si>
  <si>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</si>
  <si>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</si>
  <si>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</si>
  <si>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</si>
  <si>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</si>
  <si>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</si>
  <si>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</si>
  <si>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</si>
  <si>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</si>
  <si>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</si>
  <si>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</si>
  <si>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</si>
  <si>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</si>
  <si>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</si>
  <si>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</si>
  <si>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</si>
  <si>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</si>
  <si>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</si>
  <si>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</si>
  <si>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</si>
  <si>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</si>
  <si>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</si>
  <si>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</si>
  <si>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</si>
  <si>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Replaced N/As</t>
  </si>
  <si>
    <t>Vlookups and Iferror</t>
  </si>
  <si>
    <t>Vlookup to match the cells with same value from sales and Iferror to replace N/A's with value 20.</t>
  </si>
  <si>
    <t>Name_1</t>
  </si>
  <si>
    <t>Name_2</t>
  </si>
  <si>
    <t>Value</t>
  </si>
  <si>
    <t>Vlookups, Index, Match</t>
  </si>
  <si>
    <t>Used Vlookup to determine the row and column names, Match to find the matching row/column wrt to table A and index to get the value that matches name_1 and 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</si>
</sst>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5" fontId="7" fillId="0" borderId="0" xfId="0" applyNumberFormat="1" applyFont="1"/>
    <xf numFmtId="165" fontId="3" fillId="0" borderId="0" xfId="0" applyNumberFormat="1" applyFont="1"/>
    <xf numFmtId="2" fontId="3" fillId="5" borderId="1" xfId="0" applyNumberFormat="1" applyFont="1" applyFill="1" applyBorder="1"/>
    <xf numFmtId="2" fontId="8" fillId="0" borderId="1" xfId="0" applyNumberFormat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I1" zoomScale="101" zoomScaleNormal="104" workbookViewId="0">
      <pane ySplit="1" topLeftCell="A14" activePane="bottomLeft" state="frozen"/>
      <selection pane="bottomLeft" activeCell="G33" sqref="G33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4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5">
      <c r="H41" s="1">
        <f>SUMIF(H2:H40,"&gt;20")</f>
        <v>1473.0000000000002</v>
      </c>
    </row>
  </sheetData>
  <conditionalFormatting sqref="G2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30" sqref="G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163</v>
      </c>
    </row>
    <row r="2" spans="1:7" s="40" customFormat="1" ht="21" x14ac:dyDescent="0.5">
      <c r="B2" s="40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2">
        <f>VLOOKUP(Task_2!$A6,Dataset!A2:W40,7,FALSE)</f>
        <v>2.7</v>
      </c>
      <c r="C6" s="12">
        <f>VLOOKUP(Task_2!$A6,Dataset!A2:W40,14,FALSE)</f>
        <v>7.6</v>
      </c>
      <c r="D6" s="12">
        <f>VLOOKUP(Task_2!$A6,Dataset!A2:W40,18,FALSE)</f>
        <v>4.2</v>
      </c>
      <c r="E6" s="12">
        <f>VLOOKUP(Task_2!$A6,Dataset!A2:W40,20,FALSE)</f>
        <v>8.9</v>
      </c>
      <c r="F6" s="8">
        <f>VLOOKUP(Task_2!$A6,Dataset!A2:W40,22,FALSE)</f>
        <v>4.2</v>
      </c>
    </row>
    <row r="7" spans="1:7" ht="14.5" x14ac:dyDescent="0.35">
      <c r="A7" s="7" t="s">
        <v>4</v>
      </c>
      <c r="B7" s="12">
        <f>VLOOKUP(Task_2!$A7,Dataset!A3:W41,7,FALSE)</f>
        <v>2.7</v>
      </c>
      <c r="C7" s="12">
        <f>VLOOKUP(Task_2!$A7,Dataset!A3:W41,14,FALSE)</f>
        <v>7.6</v>
      </c>
      <c r="D7" s="12">
        <f>VLOOKUP(Task_2!$A7,Dataset!A3:W41,18,FALSE)</f>
        <v>4.2</v>
      </c>
      <c r="E7" s="12">
        <f>VLOOKUP(Task_2!$A7,Dataset!A3:W41,20,FALSE)</f>
        <v>8.9</v>
      </c>
      <c r="F7" s="8">
        <f>VLOOKUP(Task_2!$A7,Dataset!A3:W41,22,FALSE)</f>
        <v>4.2</v>
      </c>
    </row>
    <row r="8" spans="1:7" ht="14.5" x14ac:dyDescent="0.35">
      <c r="A8" s="7" t="s">
        <v>7</v>
      </c>
      <c r="B8" s="12">
        <f>VLOOKUP(Task_2!$A8,Dataset!A4:W42,7,FALSE)</f>
        <v>3.6</v>
      </c>
      <c r="C8" s="12">
        <f>VLOOKUP(Task_2!$A8,Dataset!A4:W42,14,FALSE)</f>
        <v>11.1</v>
      </c>
      <c r="D8" s="12">
        <f>VLOOKUP(Task_2!$A8,Dataset!A4:W42,18,FALSE)</f>
        <v>5.8</v>
      </c>
      <c r="E8" s="12">
        <f>VLOOKUP(Task_2!$A8,Dataset!A4:W42,20,FALSE)</f>
        <v>12.2</v>
      </c>
      <c r="F8" s="8">
        <f>VLOOKUP(Task_2!$A8,Dataset!A4:W42,22,FALSE)</f>
        <v>5.8</v>
      </c>
    </row>
    <row r="9" spans="1:7" ht="14.5" x14ac:dyDescent="0.35">
      <c r="A9" s="7" t="s">
        <v>8</v>
      </c>
      <c r="B9" s="12">
        <f>VLOOKUP(Task_2!$A9,Dataset!A5:W43,7,FALSE)</f>
        <v>4.9000000000000004</v>
      </c>
      <c r="C9" s="12">
        <f>VLOOKUP(Task_2!$A9,Dataset!A5:W43,14,FALSE)</f>
        <v>13.3</v>
      </c>
      <c r="D9" s="12">
        <f>VLOOKUP(Task_2!$A9,Dataset!A5:W43,18,FALSE)</f>
        <v>8.1</v>
      </c>
      <c r="E9" s="12">
        <f>VLOOKUP(Task_2!$A9,Dataset!A5:W43,20,FALSE)</f>
        <v>17</v>
      </c>
      <c r="F9" s="8">
        <f>VLOOKUP(Task_2!$A9,Dataset!A5:W43,22,FALSE)</f>
        <v>8.1</v>
      </c>
    </row>
    <row r="10" spans="1:7" ht="14.5" x14ac:dyDescent="0.35">
      <c r="A10" s="7" t="s">
        <v>11</v>
      </c>
      <c r="B10" s="12">
        <f>VLOOKUP(Task_2!$A10,Dataset!A6:W44,7,FALSE)</f>
        <v>9.4</v>
      </c>
      <c r="C10" s="12">
        <f>VLOOKUP(Task_2!$A10,Dataset!A6:W44,14,FALSE)</f>
        <v>28.3</v>
      </c>
      <c r="D10" s="12">
        <f>VLOOKUP(Task_2!$A10,Dataset!A6:W44,18,FALSE)</f>
        <v>16.100000000000001</v>
      </c>
      <c r="E10" s="12">
        <f>VLOOKUP(Task_2!$A10,Dataset!A6:W44,20,FALSE)</f>
        <v>32.799999999999997</v>
      </c>
      <c r="F10" s="8">
        <f>VLOOKUP(Task_2!$A10,Dataset!A6:W44,22,FALSE)</f>
        <v>16.100000000000001</v>
      </c>
    </row>
    <row r="11" spans="1:7" ht="14.5" x14ac:dyDescent="0.35">
      <c r="A11" s="7" t="s">
        <v>12</v>
      </c>
      <c r="B11" s="12">
        <f>VLOOKUP(Task_2!$A11,Dataset!A7:W45,7,FALSE)</f>
        <v>11.6</v>
      </c>
      <c r="C11" s="12">
        <f>VLOOKUP(Task_2!$A11,Dataset!A7:W45,14,FALSE)</f>
        <v>35.200000000000003</v>
      </c>
      <c r="D11" s="12">
        <f>VLOOKUP(Task_2!$A11,Dataset!A7:W45,18,FALSE)</f>
        <v>21.3</v>
      </c>
      <c r="E11" s="12">
        <f>VLOOKUP(Task_2!$A11,Dataset!A7:W45,20,FALSE)</f>
        <v>43</v>
      </c>
      <c r="F11" s="8">
        <f>VLOOKUP(Task_2!$A11,Dataset!A7:W45,22,FALSE)</f>
        <v>21.3</v>
      </c>
    </row>
    <row r="12" spans="1:7" ht="14.5" x14ac:dyDescent="0.35">
      <c r="A12" s="7" t="s">
        <v>14</v>
      </c>
      <c r="B12" s="12">
        <f>VLOOKUP(Task_2!$A12,Dataset!A8:W46,7,FALSE)</f>
        <v>18.399999999999999</v>
      </c>
      <c r="C12" s="12">
        <f>VLOOKUP(Task_2!$A12,Dataset!A8:W46,14,FALSE)</f>
        <v>55.6</v>
      </c>
      <c r="D12" s="12">
        <f>VLOOKUP(Task_2!$A12,Dataset!A8:W46,18,FALSE)</f>
        <v>33.799999999999997</v>
      </c>
      <c r="E12" s="12">
        <f>VLOOKUP(Task_2!$A12,Dataset!A8:W46,20,FALSE)</f>
        <v>67.900000000000006</v>
      </c>
      <c r="F12" s="8">
        <f>VLOOKUP(Task_2!$A12,Dataset!A8:W46,22,FALSE)</f>
        <v>33.799999999999997</v>
      </c>
    </row>
    <row r="13" spans="1:7" ht="14.5" x14ac:dyDescent="0.35">
      <c r="A13" s="7" t="s">
        <v>15</v>
      </c>
      <c r="B13" s="12">
        <f>VLOOKUP(Task_2!$A13,Dataset!A9:W47,7,FALSE)</f>
        <v>0</v>
      </c>
      <c r="C13" s="12">
        <f>VLOOKUP(Task_2!$A13,Dataset!A9:W47,14,FALSE)</f>
        <v>0</v>
      </c>
      <c r="D13" s="12">
        <f>VLOOKUP(Task_2!$A13,Dataset!A9:W47,18,FALSE)</f>
        <v>0</v>
      </c>
      <c r="E13" s="12">
        <f>VLOOKUP(Task_2!$A13,Dataset!A9:W47,20,FALSE)</f>
        <v>0</v>
      </c>
      <c r="F13" s="8">
        <f>VLOOKUP(Task_2!$A13,Dataset!A9:W47,22,FALSE)</f>
        <v>0</v>
      </c>
    </row>
    <row r="14" spans="1:7" ht="14.5" x14ac:dyDescent="0.35">
      <c r="A14" s="7" t="s">
        <v>16</v>
      </c>
      <c r="B14" s="12">
        <f>VLOOKUP(Task_2!$A14,Dataset!A10:W48,7,FALSE)</f>
        <v>21.9</v>
      </c>
      <c r="C14" s="12">
        <f>VLOOKUP(Task_2!$A14,Dataset!A10:W48,14,FALSE)</f>
        <v>61.5</v>
      </c>
      <c r="D14" s="12">
        <f>VLOOKUP(Task_2!$A14,Dataset!A10:W48,18,FALSE)</f>
        <v>40.1</v>
      </c>
      <c r="E14" s="12">
        <f>VLOOKUP(Task_2!$A14,Dataset!A10:W48,20,FALSE)</f>
        <v>76.599999999999994</v>
      </c>
      <c r="F14" s="8">
        <f>VLOOKUP(Task_2!$A14,Dataset!A10:W48,22,FALSE)</f>
        <v>40.1</v>
      </c>
    </row>
    <row r="15" spans="1:7" ht="14.5" x14ac:dyDescent="0.35">
      <c r="A15" s="7" t="s">
        <v>18</v>
      </c>
      <c r="B15" s="12">
        <f>VLOOKUP(Task_2!$A15,Dataset!A11:W49,7,FALSE)</f>
        <v>26.8</v>
      </c>
      <c r="C15" s="12">
        <f>VLOOKUP(Task_2!$A15,Dataset!A11:W49,14,FALSE)</f>
        <v>79.599999999999994</v>
      </c>
      <c r="D15" s="12">
        <f>VLOOKUP(Task_2!$A15,Dataset!A11:W49,18,FALSE)</f>
        <v>47.9</v>
      </c>
      <c r="E15" s="12">
        <f>VLOOKUP(Task_2!$A15,Dataset!A11:W49,20,FALSE)</f>
        <v>96.8</v>
      </c>
      <c r="F15" s="8">
        <f>VLOOKUP(Task_2!$A15,Dataset!A11:W49,22,FALSE)</f>
        <v>47.9</v>
      </c>
    </row>
    <row r="16" spans="1:7" ht="14.5" x14ac:dyDescent="0.35">
      <c r="A16" s="7" t="s">
        <v>20</v>
      </c>
      <c r="B16" s="12">
        <f>VLOOKUP(Task_2!$A16,Dataset!A12:W50,7,FALSE)</f>
        <v>28.5</v>
      </c>
      <c r="C16" s="12">
        <f>VLOOKUP(Task_2!$A16,Dataset!A12:W50,14,FALSE)</f>
        <v>85.4</v>
      </c>
      <c r="D16" s="12">
        <f>VLOOKUP(Task_2!$A16,Dataset!A12:W50,18,FALSE)</f>
        <v>52.3</v>
      </c>
      <c r="E16" s="12">
        <f>VLOOKUP(Task_2!$A16,Dataset!A12:W50,20,FALSE)</f>
        <v>106.1</v>
      </c>
      <c r="F16" s="8">
        <f>VLOOKUP(Task_2!$A16,Dataset!A12:W50,22,FALSE)</f>
        <v>52.3</v>
      </c>
    </row>
    <row r="17" spans="1:6" ht="14.5" x14ac:dyDescent="0.35">
      <c r="A17" s="7" t="s">
        <v>22</v>
      </c>
      <c r="B17" s="12">
        <f>VLOOKUP(Task_2!$A17,Dataset!A13:W51,7,FALSE)</f>
        <v>30.7</v>
      </c>
      <c r="C17" s="12">
        <f>VLOOKUP(Task_2!$A17,Dataset!A13:W51,14,FALSE)</f>
        <v>92.1</v>
      </c>
      <c r="D17" s="12">
        <f>VLOOKUP(Task_2!$A17,Dataset!A13:W51,18,FALSE)</f>
        <v>57</v>
      </c>
      <c r="E17" s="12">
        <f>VLOOKUP(Task_2!$A17,Dataset!A13:W51,20,FALSE)</f>
        <v>115.1</v>
      </c>
      <c r="F17" s="8">
        <f>VLOOKUP(Task_2!$A17,Dataset!A13:W51,22,FALSE)</f>
        <v>57</v>
      </c>
    </row>
    <row r="18" spans="1:6" ht="14.5" x14ac:dyDescent="0.35">
      <c r="A18" s="7" t="s">
        <v>23</v>
      </c>
      <c r="B18" s="12">
        <f>VLOOKUP(Task_2!$A18,Dataset!A14:W52,7,FALSE)</f>
        <v>33.799999999999997</v>
      </c>
      <c r="C18" s="12">
        <f>VLOOKUP(Task_2!$A18,Dataset!A14:W52,14,FALSE)</f>
        <v>101.3</v>
      </c>
      <c r="D18" s="12">
        <f>VLOOKUP(Task_2!$A18,Dataset!A14:W52,18,FALSE)</f>
        <v>61.4</v>
      </c>
      <c r="E18" s="12">
        <f>VLOOKUP(Task_2!$A18,Dataset!A14:W52,20,FALSE)</f>
        <v>124.4</v>
      </c>
      <c r="F18" s="8">
        <f>VLOOKUP(Task_2!$A18,Dataset!A14:W52,22,FALSE)</f>
        <v>61.4</v>
      </c>
    </row>
    <row r="19" spans="1:6" ht="14.5" x14ac:dyDescent="0.35">
      <c r="A19" s="7" t="s">
        <v>24</v>
      </c>
      <c r="B19" s="12">
        <f>VLOOKUP(Task_2!$A19,Dataset!A15:W53,7,FALSE)</f>
        <v>34.700000000000003</v>
      </c>
      <c r="C19" s="12">
        <f>VLOOKUP(Task_2!$A19,Dataset!A15:W53,14,FALSE)</f>
        <v>106.1</v>
      </c>
      <c r="D19" s="12">
        <f>VLOOKUP(Task_2!$A19,Dataset!A15:W53,18,FALSE)</f>
        <v>63.6</v>
      </c>
      <c r="E19" s="12">
        <f>VLOOKUP(Task_2!$A19,Dataset!A15:W53,20,FALSE)</f>
        <v>128.6</v>
      </c>
      <c r="F19" s="8">
        <f>VLOOKUP(Task_2!$A19,Dataset!A15:W53,22,FALSE)</f>
        <v>63.6</v>
      </c>
    </row>
    <row r="20" spans="1:6" ht="14.5" x14ac:dyDescent="0.35">
      <c r="A20" s="7" t="s">
        <v>28</v>
      </c>
      <c r="B20" s="12">
        <f>VLOOKUP(Task_2!$A20,Dataset!A16:W54,7,FALSE)</f>
        <v>0</v>
      </c>
      <c r="C20" s="12">
        <f>VLOOKUP(Task_2!$A20,Dataset!A16:W54,14,FALSE)</f>
        <v>0</v>
      </c>
      <c r="D20" s="12">
        <f>VLOOKUP(Task_2!$A20,Dataset!A16:W54,18,FALSE)</f>
        <v>0</v>
      </c>
      <c r="E20" s="12">
        <f>VLOOKUP(Task_2!$A20,Dataset!A16:W54,20,FALSE)</f>
        <v>0</v>
      </c>
      <c r="F20" s="8">
        <f>VLOOKUP(Task_2!$A20,Dataset!A16:W54,22,FALSE)</f>
        <v>0</v>
      </c>
    </row>
    <row r="21" spans="1:6" ht="14.5" x14ac:dyDescent="0.35">
      <c r="A21" s="7" t="s">
        <v>57</v>
      </c>
      <c r="B21" s="12">
        <f>VLOOKUP(Task_2!$A21,Dataset!A17:W55,7,FALSE)</f>
        <v>41.3</v>
      </c>
      <c r="C21" s="12">
        <f>VLOOKUP(Task_2!$A21,Dataset!A17:W55,14,FALSE)</f>
        <v>124.4</v>
      </c>
      <c r="D21" s="12">
        <f>VLOOKUP(Task_2!$A21,Dataset!A17:W55,18,FALSE)</f>
        <v>75</v>
      </c>
      <c r="E21" s="12">
        <f>VLOOKUP(Task_2!$A21,Dataset!A17:W55,20,FALSE)</f>
        <v>151.5</v>
      </c>
      <c r="F21" s="8">
        <f>VLOOKUP(Task_2!$A21,Dataset!A17:W55,22,FALSE)</f>
        <v>75</v>
      </c>
    </row>
    <row r="22" spans="1:6" ht="14.5" x14ac:dyDescent="0.35">
      <c r="A22" s="7" t="s">
        <v>58</v>
      </c>
      <c r="B22" s="12">
        <f>VLOOKUP(Task_2!$A22,Dataset!A18:W56,7,FALSE)</f>
        <v>-1</v>
      </c>
      <c r="C22" s="12">
        <f>VLOOKUP(Task_2!$A22,Dataset!A18:W56,14,FALSE)</f>
        <v>-1</v>
      </c>
      <c r="D22" s="12">
        <f>VLOOKUP(Task_2!$A22,Dataset!A18:W56,18,FALSE)</f>
        <v>-1</v>
      </c>
      <c r="E22" s="12">
        <f>VLOOKUP(Task_2!$A22,Dataset!A18:W56,20,FALSE)</f>
        <v>-1</v>
      </c>
      <c r="F22" s="8">
        <f>VLOOKUP(Task_2!$A22,Dataset!A18:W56,22,FALSE)</f>
        <v>-1</v>
      </c>
    </row>
    <row r="23" spans="1:6" ht="14.5" x14ac:dyDescent="0.35">
      <c r="A23" s="7" t="s">
        <v>31</v>
      </c>
      <c r="B23" s="12">
        <f>VLOOKUP(Task_2!$A23,Dataset!A19:W57,7,FALSE)</f>
        <v>45</v>
      </c>
      <c r="C23" s="12">
        <f>VLOOKUP(Task_2!$A23,Dataset!A19:W57,14,FALSE)</f>
        <v>133.4</v>
      </c>
      <c r="D23" s="12">
        <f>VLOOKUP(Task_2!$A23,Dataset!A19:W57,18,FALSE)</f>
        <v>79.400000000000006</v>
      </c>
      <c r="E23" s="12">
        <f>VLOOKUP(Task_2!$A23,Dataset!A19:W57,20,FALSE)</f>
        <v>160.9</v>
      </c>
      <c r="F23" s="8">
        <f>VLOOKUP(Task_2!$A23,Dataset!A19:W57,22,FALSE)</f>
        <v>79.400000000000006</v>
      </c>
    </row>
    <row r="24" spans="1:6" ht="14.5" x14ac:dyDescent="0.35">
      <c r="A24" s="7" t="s">
        <v>32</v>
      </c>
      <c r="B24" s="12">
        <f>VLOOKUP(Task_2!$A24,Dataset!A20:W58,7,FALSE)</f>
        <v>-1</v>
      </c>
      <c r="C24" s="12">
        <f>VLOOKUP(Task_2!$A24,Dataset!A20:W58,14,FALSE)</f>
        <v>-1</v>
      </c>
      <c r="D24" s="12">
        <f>VLOOKUP(Task_2!$A24,Dataset!A20:W58,18,FALSE)</f>
        <v>-1</v>
      </c>
      <c r="E24" s="12">
        <f>VLOOKUP(Task_2!$A24,Dataset!A20:W58,20,FALSE)</f>
        <v>-1</v>
      </c>
      <c r="F24" s="8">
        <f>VLOOKUP(Task_2!$A24,Dataset!A20:W58,22,FALSE)</f>
        <v>-1</v>
      </c>
    </row>
    <row r="25" spans="1:6" ht="14.5" x14ac:dyDescent="0.35">
      <c r="A25" s="7" t="s">
        <v>34</v>
      </c>
      <c r="B25" s="12">
        <f>VLOOKUP(Task_2!$A25,Dataset!A21:W59,7,FALSE)</f>
        <v>43.3</v>
      </c>
      <c r="C25" s="12">
        <f>VLOOKUP(Task_2!$A25,Dataset!A21:W59,14,FALSE)</f>
        <v>128.6</v>
      </c>
      <c r="D25" s="12">
        <f>VLOOKUP(Task_2!$A25,Dataset!A21:W59,18,FALSE)</f>
        <v>79.400000000000006</v>
      </c>
      <c r="E25" s="12">
        <f>VLOOKUP(Task_2!$A25,Dataset!A21:W59,20,FALSE)</f>
        <v>160.9</v>
      </c>
      <c r="F25" s="8">
        <f>VLOOKUP(Task_2!$A25,Dataset!A21:W59,22,FALSE)</f>
        <v>79.400000000000006</v>
      </c>
    </row>
    <row r="26" spans="1:6" ht="14.5" x14ac:dyDescent="0.35">
      <c r="A26" s="7" t="s">
        <v>37</v>
      </c>
      <c r="B26" s="12">
        <f>VLOOKUP(Task_2!$A26,Dataset!A22:W60,7,FALSE)</f>
        <v>49.1</v>
      </c>
      <c r="C26" s="12">
        <f>VLOOKUP(Task_2!$A26,Dataset!A22:W60,14,FALSE)</f>
        <v>146.80000000000001</v>
      </c>
      <c r="D26" s="12">
        <f>VLOOKUP(Task_2!$A26,Dataset!A22:W60,18,FALSE)</f>
        <v>90.9</v>
      </c>
      <c r="E26" s="12">
        <f>VLOOKUP(Task_2!$A26,Dataset!A22:W60,20,FALSE)</f>
        <v>183.5</v>
      </c>
      <c r="F26" s="8">
        <f>VLOOKUP(Task_2!$A26,Dataset!A22:W60,22,FALSE)</f>
        <v>90.9</v>
      </c>
    </row>
    <row r="27" spans="1:6" ht="14.5" x14ac:dyDescent="0.35">
      <c r="A27" s="7" t="s">
        <v>39</v>
      </c>
      <c r="B27" s="12">
        <f>VLOOKUP(Task_2!$A27,Dataset!A23:W61,7,FALSE)</f>
        <v>51.8</v>
      </c>
      <c r="C27" s="12">
        <f>VLOOKUP(Task_2!$A27,Dataset!A23:W61,14,FALSE)</f>
        <v>156.4</v>
      </c>
      <c r="D27" s="12">
        <f>VLOOKUP(Task_2!$A27,Dataset!A23:W61,18,FALSE)</f>
        <v>93.1</v>
      </c>
      <c r="E27" s="12">
        <f>VLOOKUP(Task_2!$A27,Dataset!A23:W61,20,FALSE)</f>
        <v>188.1</v>
      </c>
      <c r="F27" s="8">
        <f>VLOOKUP(Task_2!$A27,Dataset!A23:W61,22,FALSE)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45">
        <f>AVERAGE(B6:B27)</f>
        <v>20.827272727272728</v>
      </c>
      <c r="C30" s="45">
        <f t="shared" ref="C30:F30" si="2">AVERAGE(C6:C27)</f>
        <v>62.377272727272725</v>
      </c>
      <c r="D30" s="45">
        <f t="shared" si="2"/>
        <v>37.800000000000004</v>
      </c>
      <c r="E30" s="45">
        <f t="shared" si="2"/>
        <v>76.418181818181822</v>
      </c>
      <c r="F30" s="45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9" zoomScaleNormal="100" workbookViewId="0">
      <selection activeCell="A16" sqref="A16:A5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152</v>
      </c>
      <c r="B6" s="39"/>
    </row>
    <row r="7" spans="1:10" ht="18.5" x14ac:dyDescent="0.45">
      <c r="A7" s="42"/>
      <c r="B7" s="39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5">
      <c r="A16" s="7" t="s">
        <v>120</v>
      </c>
      <c r="B16" s="12"/>
      <c r="D16" s="12"/>
      <c r="F16" s="12"/>
    </row>
    <row r="17" spans="1:6" x14ac:dyDescent="0.35">
      <c r="A17" s="7" t="s">
        <v>121</v>
      </c>
      <c r="B17" s="12"/>
      <c r="D17" s="12"/>
      <c r="F17" s="12"/>
    </row>
    <row r="18" spans="1:6" x14ac:dyDescent="0.35">
      <c r="A18" s="7" t="s">
        <v>122</v>
      </c>
      <c r="B18" s="12"/>
      <c r="D18" s="12"/>
      <c r="F18" s="12"/>
    </row>
    <row r="19" spans="1:6" x14ac:dyDescent="0.35">
      <c r="A19" s="7" t="s">
        <v>123</v>
      </c>
      <c r="B19" s="12"/>
      <c r="D19" s="12"/>
      <c r="F19" s="12"/>
    </row>
    <row r="20" spans="1:6" x14ac:dyDescent="0.35">
      <c r="A20" s="7" t="s">
        <v>124</v>
      </c>
      <c r="B20" s="12"/>
      <c r="D20" s="12"/>
      <c r="F20" s="12"/>
    </row>
    <row r="21" spans="1:6" x14ac:dyDescent="0.35">
      <c r="A21" s="7" t="s">
        <v>125</v>
      </c>
      <c r="B21" s="12"/>
      <c r="D21" s="12"/>
      <c r="F21" s="12"/>
    </row>
    <row r="22" spans="1:6" x14ac:dyDescent="0.35">
      <c r="A22" s="7" t="s">
        <v>126</v>
      </c>
      <c r="B22" s="12"/>
      <c r="D22" s="12"/>
      <c r="F22" s="12"/>
    </row>
    <row r="23" spans="1:6" x14ac:dyDescent="0.35">
      <c r="A23" s="7" t="s">
        <v>127</v>
      </c>
      <c r="B23" s="12"/>
      <c r="D23" s="12"/>
      <c r="F23" s="12"/>
    </row>
    <row r="24" spans="1:6" x14ac:dyDescent="0.35">
      <c r="A24" s="7" t="s">
        <v>128</v>
      </c>
      <c r="B24" s="12"/>
      <c r="D24" s="12"/>
      <c r="F24" s="12"/>
    </row>
    <row r="25" spans="1:6" x14ac:dyDescent="0.35">
      <c r="A25" s="7" t="s">
        <v>129</v>
      </c>
      <c r="B25" s="12"/>
      <c r="D25" s="12"/>
      <c r="F25" s="12"/>
    </row>
    <row r="26" spans="1:6" x14ac:dyDescent="0.35">
      <c r="A26" s="7" t="s">
        <v>130</v>
      </c>
      <c r="B26" s="12"/>
      <c r="D26" s="12"/>
      <c r="F26" s="12"/>
    </row>
    <row r="27" spans="1:6" x14ac:dyDescent="0.35">
      <c r="A27" s="7" t="s">
        <v>131</v>
      </c>
      <c r="B27" s="12"/>
      <c r="D27" s="12"/>
      <c r="F27" s="12"/>
    </row>
    <row r="28" spans="1:6" x14ac:dyDescent="0.35">
      <c r="A28" s="7" t="s">
        <v>132</v>
      </c>
      <c r="B28" s="12"/>
      <c r="D28" s="12"/>
      <c r="F28" s="12"/>
    </row>
    <row r="29" spans="1:6" x14ac:dyDescent="0.35">
      <c r="A29" s="7" t="s">
        <v>133</v>
      </c>
      <c r="B29" s="12"/>
      <c r="D29" s="12"/>
      <c r="F29" s="12"/>
    </row>
    <row r="30" spans="1:6" x14ac:dyDescent="0.35">
      <c r="A30" s="7" t="s">
        <v>134</v>
      </c>
      <c r="B30" s="12"/>
      <c r="D30" s="12"/>
      <c r="F30" s="12"/>
    </row>
    <row r="31" spans="1:6" x14ac:dyDescent="0.35">
      <c r="A31" s="7" t="s">
        <v>135</v>
      </c>
      <c r="B31" s="12"/>
      <c r="D31" s="12"/>
      <c r="F31" s="12"/>
    </row>
    <row r="32" spans="1:6" x14ac:dyDescent="0.35">
      <c r="A32" s="7" t="s">
        <v>136</v>
      </c>
      <c r="B32" s="12"/>
      <c r="D32" s="12"/>
      <c r="F32" s="12"/>
    </row>
    <row r="33" spans="1:6" x14ac:dyDescent="0.35">
      <c r="A33" s="7" t="s">
        <v>137</v>
      </c>
      <c r="B33" s="12"/>
      <c r="D33" s="12"/>
      <c r="F33" s="12"/>
    </row>
    <row r="34" spans="1:6" x14ac:dyDescent="0.35">
      <c r="A34" s="7" t="s">
        <v>138</v>
      </c>
      <c r="B34" s="12"/>
      <c r="D34" s="12"/>
      <c r="F34" s="12"/>
    </row>
    <row r="35" spans="1:6" x14ac:dyDescent="0.35">
      <c r="A35" s="7" t="s">
        <v>139</v>
      </c>
      <c r="B35" s="12"/>
      <c r="D35" s="12"/>
      <c r="F35" s="12"/>
    </row>
    <row r="36" spans="1:6" x14ac:dyDescent="0.35">
      <c r="A36" s="7" t="s">
        <v>140</v>
      </c>
      <c r="B36" s="12"/>
      <c r="D36" s="12"/>
      <c r="F36" s="12"/>
    </row>
    <row r="37" spans="1:6" x14ac:dyDescent="0.35">
      <c r="A37" s="7" t="s">
        <v>141</v>
      </c>
      <c r="B37" s="12"/>
      <c r="D37" s="12"/>
      <c r="F37" s="12"/>
    </row>
    <row r="38" spans="1:6" x14ac:dyDescent="0.35">
      <c r="A38" s="7" t="s">
        <v>142</v>
      </c>
      <c r="B38" s="12"/>
      <c r="D38" s="12"/>
      <c r="F38" s="12"/>
    </row>
    <row r="39" spans="1:6" x14ac:dyDescent="0.35">
      <c r="A39" s="7" t="s">
        <v>143</v>
      </c>
      <c r="B39" s="12"/>
      <c r="D39" s="12"/>
      <c r="F39" s="12"/>
    </row>
    <row r="40" spans="1:6" x14ac:dyDescent="0.35">
      <c r="A40" s="7" t="s">
        <v>144</v>
      </c>
      <c r="B40" s="12"/>
      <c r="D40" s="12"/>
      <c r="F40" s="12"/>
    </row>
    <row r="41" spans="1:6" x14ac:dyDescent="0.35">
      <c r="A41" s="7" t="s">
        <v>145</v>
      </c>
      <c r="B41" s="12"/>
      <c r="D41" s="12"/>
      <c r="F41" s="12"/>
    </row>
    <row r="42" spans="1:6" x14ac:dyDescent="0.35">
      <c r="A42" s="7" t="s">
        <v>146</v>
      </c>
      <c r="B42" s="12"/>
      <c r="D42" s="12"/>
      <c r="F42" s="12"/>
    </row>
    <row r="43" spans="1:6" x14ac:dyDescent="0.35">
      <c r="A43" s="7" t="s">
        <v>147</v>
      </c>
      <c r="B43" s="12"/>
      <c r="D43" s="12"/>
      <c r="F43" s="12"/>
    </row>
    <row r="44" spans="1:6" x14ac:dyDescent="0.35">
      <c r="A44" s="7" t="s">
        <v>148</v>
      </c>
      <c r="B44" s="12"/>
      <c r="D44" s="12"/>
      <c r="F44" s="12"/>
    </row>
    <row r="45" spans="1:6" x14ac:dyDescent="0.35">
      <c r="A45" s="7" t="s">
        <v>149</v>
      </c>
      <c r="B45" s="12"/>
      <c r="D45" s="12"/>
      <c r="F45" s="12"/>
    </row>
    <row r="46" spans="1:6" x14ac:dyDescent="0.35">
      <c r="A46" s="7" t="s">
        <v>111</v>
      </c>
      <c r="B46" s="12"/>
      <c r="D46" s="12"/>
      <c r="F46" s="12"/>
    </row>
    <row r="47" spans="1:6" x14ac:dyDescent="0.35">
      <c r="A47" s="7" t="s">
        <v>112</v>
      </c>
      <c r="B47" s="12"/>
      <c r="D47" s="12"/>
      <c r="F47" s="12"/>
    </row>
    <row r="48" spans="1:6" x14ac:dyDescent="0.35">
      <c r="A48" s="7" t="s">
        <v>113</v>
      </c>
      <c r="B48" s="12"/>
      <c r="D48" s="12"/>
      <c r="F48" s="12"/>
    </row>
    <row r="49" spans="1:6" x14ac:dyDescent="0.35">
      <c r="A49" s="7" t="s">
        <v>114</v>
      </c>
      <c r="B49" s="12"/>
      <c r="D49" s="12"/>
      <c r="F49" s="12"/>
    </row>
    <row r="50" spans="1:6" x14ac:dyDescent="0.35">
      <c r="A50" s="7" t="s">
        <v>115</v>
      </c>
      <c r="B50" s="12"/>
      <c r="D50" s="12"/>
      <c r="F50" s="12"/>
    </row>
    <row r="51" spans="1:6" x14ac:dyDescent="0.35">
      <c r="A51" s="7" t="s">
        <v>116</v>
      </c>
      <c r="B51" s="12"/>
      <c r="D51" s="12"/>
      <c r="F51" s="12"/>
    </row>
    <row r="52" spans="1:6" x14ac:dyDescent="0.35">
      <c r="A52" s="7" t="s">
        <v>117</v>
      </c>
      <c r="B52" s="12"/>
      <c r="D52" s="12"/>
      <c r="F52" s="12"/>
    </row>
    <row r="53" spans="1:6" x14ac:dyDescent="0.35">
      <c r="A53" s="7" t="s">
        <v>118</v>
      </c>
      <c r="B53" s="12"/>
      <c r="D53" s="12"/>
      <c r="F53" s="12"/>
    </row>
    <row r="54" spans="1:6" x14ac:dyDescent="0.35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7" sqref="B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41" t="s">
        <v>85</v>
      </c>
      <c r="B1" s="40" t="s">
        <v>166</v>
      </c>
    </row>
    <row r="2" spans="1:4" ht="18.5" x14ac:dyDescent="0.45">
      <c r="B2" s="39" t="s">
        <v>165</v>
      </c>
    </row>
    <row r="5" spans="1:4" ht="14.5" x14ac:dyDescent="0.35">
      <c r="B5" s="1" t="s">
        <v>150</v>
      </c>
    </row>
    <row r="6" spans="1:4" ht="14.5" x14ac:dyDescent="0.35">
      <c r="A6" s="3" t="s">
        <v>53</v>
      </c>
      <c r="B6" s="1" t="s">
        <v>179</v>
      </c>
    </row>
    <row r="7" spans="1:4" ht="14.5" x14ac:dyDescent="0.35">
      <c r="A7" s="3" t="s">
        <v>152</v>
      </c>
      <c r="B7" s="1" t="s">
        <v>180</v>
      </c>
    </row>
    <row r="10" spans="1:4" ht="23.5" x14ac:dyDescent="0.55000000000000004">
      <c r="A10" s="17" t="s">
        <v>161</v>
      </c>
    </row>
    <row r="11" spans="1:4" ht="14.5" x14ac:dyDescent="0.35">
      <c r="A11" s="31" t="s">
        <v>86</v>
      </c>
      <c r="B11" s="16" t="s">
        <v>87</v>
      </c>
      <c r="C11" s="16" t="s">
        <v>88</v>
      </c>
      <c r="D11" s="24" t="s">
        <v>178</v>
      </c>
    </row>
    <row r="12" spans="1:4" ht="14.5" x14ac:dyDescent="0.35">
      <c r="A12" s="31">
        <v>44927</v>
      </c>
      <c r="B12" s="16" t="s">
        <v>59</v>
      </c>
      <c r="C12" s="16">
        <v>200</v>
      </c>
      <c r="D12" s="46">
        <f>IFERROR(VLOOKUP($B12, $B$12:$C$21, 2, FALSE),"20")</f>
        <v>200</v>
      </c>
    </row>
    <row r="13" spans="1:4" ht="14.5" x14ac:dyDescent="0.35">
      <c r="A13" s="31">
        <v>44928</v>
      </c>
      <c r="B13" s="16" t="s">
        <v>60</v>
      </c>
      <c r="C13" s="16" t="e">
        <v>#N/A</v>
      </c>
      <c r="D13" s="46">
        <f>IFERROR(VLOOKUP($B13, $B$12:$C$21, 2, FALSE),20)</f>
        <v>20</v>
      </c>
    </row>
    <row r="14" spans="1:4" ht="14.5" x14ac:dyDescent="0.35">
      <c r="A14" s="31">
        <v>44929</v>
      </c>
      <c r="B14" s="16" t="s">
        <v>61</v>
      </c>
      <c r="C14" s="16">
        <v>50</v>
      </c>
      <c r="D14" s="46">
        <f t="shared" ref="D14:D21" si="0">IFERROR(VLOOKUP($B14, $B$12:$C$21, 2, FALSE),20)</f>
        <v>50</v>
      </c>
    </row>
    <row r="15" spans="1:4" ht="14.5" x14ac:dyDescent="0.35">
      <c r="A15" s="31">
        <v>44930</v>
      </c>
      <c r="B15" s="16" t="s">
        <v>62</v>
      </c>
      <c r="C15" s="16" t="e">
        <v>#N/A</v>
      </c>
      <c r="D15" s="46">
        <f t="shared" si="0"/>
        <v>20</v>
      </c>
    </row>
    <row r="16" spans="1:4" ht="14.5" x14ac:dyDescent="0.35">
      <c r="A16" s="31">
        <v>44931</v>
      </c>
      <c r="B16" s="16" t="s">
        <v>63</v>
      </c>
      <c r="C16" s="16">
        <v>10</v>
      </c>
      <c r="D16" s="46">
        <f t="shared" si="0"/>
        <v>10</v>
      </c>
    </row>
    <row r="17" spans="1:4" ht="14.5" x14ac:dyDescent="0.35">
      <c r="A17" s="31">
        <v>44932</v>
      </c>
      <c r="B17" s="16" t="s">
        <v>153</v>
      </c>
      <c r="C17" s="16">
        <v>150</v>
      </c>
      <c r="D17" s="46">
        <f t="shared" si="0"/>
        <v>150</v>
      </c>
    </row>
    <row r="18" spans="1:4" ht="14.5" x14ac:dyDescent="0.35">
      <c r="A18" s="31">
        <v>44933</v>
      </c>
      <c r="B18" s="16" t="s">
        <v>154</v>
      </c>
      <c r="C18" s="16">
        <v>80</v>
      </c>
      <c r="D18" s="46">
        <f t="shared" si="0"/>
        <v>80</v>
      </c>
    </row>
    <row r="19" spans="1:4" ht="14.5" x14ac:dyDescent="0.35">
      <c r="A19" s="31">
        <v>44934</v>
      </c>
      <c r="B19" s="16" t="s">
        <v>155</v>
      </c>
      <c r="C19" s="16" t="e">
        <v>#N/A</v>
      </c>
      <c r="D19" s="46">
        <f t="shared" si="0"/>
        <v>20</v>
      </c>
    </row>
    <row r="20" spans="1:4" ht="14.5" x14ac:dyDescent="0.35">
      <c r="A20" s="31">
        <v>44935</v>
      </c>
      <c r="B20" s="16" t="s">
        <v>156</v>
      </c>
      <c r="C20" s="16">
        <v>30</v>
      </c>
      <c r="D20" s="46">
        <f t="shared" si="0"/>
        <v>30</v>
      </c>
    </row>
    <row r="21" spans="1:4" ht="14.5" x14ac:dyDescent="0.35">
      <c r="A21" s="31">
        <v>44936</v>
      </c>
      <c r="B21" s="16" t="s">
        <v>157</v>
      </c>
      <c r="C21" s="16" t="e">
        <v>#N/A</v>
      </c>
      <c r="D21" s="46">
        <f t="shared" si="0"/>
        <v>20</v>
      </c>
    </row>
    <row r="22" spans="1:4" ht="14.5" x14ac:dyDescent="0.35">
      <c r="B22" s="16" t="s">
        <v>158</v>
      </c>
      <c r="C22" s="24"/>
      <c r="D22" s="46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6" sqref="B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174</v>
      </c>
    </row>
    <row r="3" spans="1:14" ht="14.5" x14ac:dyDescent="0.35">
      <c r="B3" s="1" t="s">
        <v>150</v>
      </c>
    </row>
    <row r="4" spans="1:14" ht="18.5" x14ac:dyDescent="0.45">
      <c r="A4" s="42" t="s">
        <v>53</v>
      </c>
      <c r="B4" s="1"/>
      <c r="C4" s="2" t="s">
        <v>184</v>
      </c>
    </row>
    <row r="5" spans="1:14" ht="18.5" x14ac:dyDescent="0.45">
      <c r="A5" s="42" t="s">
        <v>152</v>
      </c>
      <c r="B5" s="1" t="s">
        <v>185</v>
      </c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5" x14ac:dyDescent="0.55000000000000004">
      <c r="A21" s="17" t="s">
        <v>167</v>
      </c>
    </row>
    <row r="22" spans="1:14" ht="14.5" x14ac:dyDescent="0.35">
      <c r="A22" s="14" t="s">
        <v>100</v>
      </c>
      <c r="B22" s="16" t="s">
        <v>101</v>
      </c>
      <c r="C22" s="24" t="s">
        <v>181</v>
      </c>
      <c r="D22" s="24" t="s">
        <v>182</v>
      </c>
      <c r="E22" s="24" t="s">
        <v>183</v>
      </c>
    </row>
    <row r="23" spans="1:14" ht="14.5" x14ac:dyDescent="0.35">
      <c r="A23" s="7">
        <v>10100</v>
      </c>
      <c r="B23" s="16">
        <v>10102</v>
      </c>
      <c r="C23" s="24" t="str">
        <f>VLOOKUP($A23, $M$10:$N$18, 2, FALSE)</f>
        <v>A</v>
      </c>
      <c r="D23" s="24" t="str">
        <f>VLOOKUP($B23, $M$10:$N$18, 2, FALSE)</f>
        <v>B</v>
      </c>
      <c r="E23" s="24">
        <f>INDEX($B$10:$J$18, MATCH($C23,$A$10:$A$18, 0), MATCH($D23, $B$9:$J$9, 0))</f>
        <v>95</v>
      </c>
    </row>
    <row r="24" spans="1:14" ht="14.5" x14ac:dyDescent="0.35">
      <c r="A24" s="7">
        <v>10100</v>
      </c>
      <c r="B24" s="16">
        <v>10104</v>
      </c>
      <c r="C24" s="24" t="str">
        <f t="shared" ref="C24:D35" si="0">VLOOKUP($A24, $M$10:$N$18, 2, FALSE)</f>
        <v>A</v>
      </c>
      <c r="D24" s="24" t="str">
        <f t="shared" ref="D24:E35" si="1">VLOOKUP($B24, $M$10:$N$18, 2, FALSE)</f>
        <v>C</v>
      </c>
      <c r="E24" s="24">
        <f>INDEX($B$10:$J$18, MATCH($C24,$A$10:$A$18, 0), MATCH($D24, $B$9:$J$9, 0))</f>
        <v>-1</v>
      </c>
    </row>
    <row r="25" spans="1:14" ht="14.5" x14ac:dyDescent="0.35">
      <c r="A25" s="7">
        <v>10108</v>
      </c>
      <c r="B25" s="16">
        <v>10102</v>
      </c>
      <c r="C25" s="24" t="str">
        <f t="shared" si="0"/>
        <v>E</v>
      </c>
      <c r="D25" s="24" t="str">
        <f t="shared" si="1"/>
        <v>B</v>
      </c>
      <c r="E25" s="24">
        <f>INDEX($B$10:$J$18, MATCH($C25,$A$10:$A$18, 0), MATCH($D25, $B$9:$J$9, 0))</f>
        <v>160</v>
      </c>
    </row>
    <row r="26" spans="1:14" ht="14.5" x14ac:dyDescent="0.35">
      <c r="A26" s="7">
        <v>10100</v>
      </c>
      <c r="B26" s="16">
        <v>10106</v>
      </c>
      <c r="C26" s="24" t="str">
        <f t="shared" si="0"/>
        <v>A</v>
      </c>
      <c r="D26" s="24" t="str">
        <f t="shared" si="1"/>
        <v>D</v>
      </c>
      <c r="E26" s="24">
        <f>INDEX($B$10:$J$18, MATCH($C26,$A$10:$A$18, 0), MATCH($D26, $B$9:$J$9, 0))</f>
        <v>185</v>
      </c>
    </row>
    <row r="27" spans="1:14" ht="14.5" x14ac:dyDescent="0.35">
      <c r="A27" s="7">
        <v>10108</v>
      </c>
      <c r="B27" s="16">
        <v>10110</v>
      </c>
      <c r="C27" s="24" t="str">
        <f t="shared" si="0"/>
        <v>E</v>
      </c>
      <c r="D27" s="24" t="str">
        <f t="shared" si="1"/>
        <v>F</v>
      </c>
      <c r="E27" s="24">
        <f>INDEX($B$10:$J$18, MATCH($C27,$A$10:$A$18, 0), MATCH($D27, $B$9:$J$9, 0))</f>
        <v>50</v>
      </c>
    </row>
    <row r="28" spans="1:14" ht="14.5" x14ac:dyDescent="0.35">
      <c r="A28" s="7">
        <v>10102</v>
      </c>
      <c r="B28" s="16">
        <v>10104</v>
      </c>
      <c r="C28" s="24" t="str">
        <f t="shared" si="0"/>
        <v>B</v>
      </c>
      <c r="D28" s="24" t="str">
        <f t="shared" si="1"/>
        <v>C</v>
      </c>
      <c r="E28" s="24">
        <f>INDEX($B$10:$J$18, MATCH($C28,$A$10:$A$18, 0), MATCH($D28, $B$9:$J$9, 0))</f>
        <v>-1</v>
      </c>
    </row>
    <row r="29" spans="1:14" ht="14.5" x14ac:dyDescent="0.35">
      <c r="A29" s="7">
        <v>10106</v>
      </c>
      <c r="B29" s="16">
        <v>10108</v>
      </c>
      <c r="C29" s="24" t="str">
        <f t="shared" si="0"/>
        <v>D</v>
      </c>
      <c r="D29" s="24" t="str">
        <f t="shared" si="1"/>
        <v>E</v>
      </c>
      <c r="E29" s="24">
        <f>INDEX($B$10:$J$18, MATCH($C29,$A$10:$A$18, 0), MATCH($D29, $B$9:$J$9, 0))</f>
        <v>70</v>
      </c>
    </row>
    <row r="30" spans="1:14" ht="14.5" x14ac:dyDescent="0.35">
      <c r="A30" s="7">
        <v>10102</v>
      </c>
      <c r="B30" s="16">
        <v>10106</v>
      </c>
      <c r="C30" s="24" t="str">
        <f t="shared" si="0"/>
        <v>B</v>
      </c>
      <c r="D30" s="24" t="str">
        <f t="shared" si="1"/>
        <v>D</v>
      </c>
      <c r="E30" s="24">
        <f>INDEX($B$10:$J$18, MATCH($C30,$A$10:$A$18, 0), MATCH($D30, $B$9:$J$9, 0))</f>
        <v>90</v>
      </c>
    </row>
    <row r="31" spans="1:14" ht="14.5" x14ac:dyDescent="0.35">
      <c r="A31" s="7">
        <v>10110</v>
      </c>
      <c r="B31" s="16">
        <v>10114</v>
      </c>
      <c r="C31" s="24" t="str">
        <f t="shared" si="0"/>
        <v>F</v>
      </c>
      <c r="D31" s="24" t="str">
        <f t="shared" si="1"/>
        <v>H</v>
      </c>
      <c r="E31" s="24">
        <f>INDEX($B$10:$J$18, MATCH($C31,$A$10:$A$18, 0), MATCH($D31, $B$9:$J$9, 0))</f>
        <v>180</v>
      </c>
    </row>
    <row r="32" spans="1:14" ht="14.5" x14ac:dyDescent="0.35">
      <c r="A32" s="7">
        <v>10104</v>
      </c>
      <c r="B32" s="16">
        <v>10106</v>
      </c>
      <c r="C32" s="24" t="str">
        <f t="shared" si="0"/>
        <v>C</v>
      </c>
      <c r="D32" s="24" t="str">
        <f t="shared" si="1"/>
        <v>D</v>
      </c>
      <c r="E32" s="24">
        <f>INDEX($B$10:$J$18, MATCH($C32,$A$10:$A$18, 0), MATCH($D32, $B$9:$J$9, 0))</f>
        <v>60</v>
      </c>
    </row>
    <row r="33" spans="1:5" ht="14.5" x14ac:dyDescent="0.35">
      <c r="A33" s="7">
        <v>10110</v>
      </c>
      <c r="B33" s="16">
        <v>10112</v>
      </c>
      <c r="C33" s="24" t="str">
        <f t="shared" si="0"/>
        <v>F</v>
      </c>
      <c r="D33" s="24" t="str">
        <f t="shared" si="1"/>
        <v>G</v>
      </c>
      <c r="E33" s="24">
        <f>INDEX($B$10:$J$18, MATCH($C33,$A$10:$A$18, 0), MATCH($D33, $B$9:$J$9, 0))</f>
        <v>115</v>
      </c>
    </row>
    <row r="34" spans="1:5" ht="14.5" x14ac:dyDescent="0.35">
      <c r="A34" s="7">
        <v>10100</v>
      </c>
      <c r="B34" s="16">
        <v>10114</v>
      </c>
      <c r="C34" s="24" t="str">
        <f t="shared" si="0"/>
        <v>A</v>
      </c>
      <c r="D34" s="24" t="str">
        <f t="shared" si="1"/>
        <v>H</v>
      </c>
      <c r="E34" s="24">
        <f>INDEX($B$10:$J$18, MATCH($C34,$A$10:$A$18, 0), MATCH($D34, $B$9:$J$9, 0))</f>
        <v>480</v>
      </c>
    </row>
    <row r="35" spans="1:5" ht="14.5" x14ac:dyDescent="0.35">
      <c r="A35" s="9">
        <v>10112</v>
      </c>
      <c r="B35" s="16">
        <v>10116</v>
      </c>
      <c r="C35" s="24" t="str">
        <f t="shared" si="0"/>
        <v>G</v>
      </c>
      <c r="D35" s="24" t="str">
        <f t="shared" si="1"/>
        <v>I</v>
      </c>
      <c r="E35" s="24">
        <f>INDEX($B$10:$J$18, MATCH($C35,$A$10:$A$18, 0), MATCH($D35, $B$9:$J$9, 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Sudanagunta, Aakash</cp:lastModifiedBy>
  <dcterms:created xsi:type="dcterms:W3CDTF">2015-02-10T17:33:11Z</dcterms:created>
  <dcterms:modified xsi:type="dcterms:W3CDTF">2024-10-21T16:49:57Z</dcterms:modified>
</cp:coreProperties>
</file>